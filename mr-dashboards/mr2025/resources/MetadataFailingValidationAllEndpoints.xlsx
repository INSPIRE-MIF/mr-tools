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cve\Downloads\"/>
    </mc:Choice>
  </mc:AlternateContent>
  <xr:revisionPtr revIDLastSave="0" documentId="13_ncr:1_{7FD4AE9B-44BE-433D-BDB0-68DA09ED53FA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eadme" sheetId="1" r:id="rId1"/>
    <sheet name="dataset" sheetId="2" r:id="rId2"/>
    <sheet name="servic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6" i="2" l="1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C36" i="2"/>
</calcChain>
</file>

<file path=xl/sharedStrings.xml><?xml version="1.0" encoding="utf-8"?>
<sst xmlns="http://schemas.openxmlformats.org/spreadsheetml/2006/main" count="310" uniqueCount="195">
  <si>
    <t>md_failed</t>
  </si>
  <si>
    <t>number of metadata records that failed validation (includes md_unknown_type)</t>
  </si>
  <si>
    <t>md_unknown_type</t>
  </si>
  <si>
    <t>number of metadata records with unknown or missing type (in dataset only)</t>
  </si>
  <si>
    <t>Test assertion ID</t>
  </si>
  <si>
    <t>Title of the test assertion</t>
  </si>
  <si>
    <t>ATS link</t>
  </si>
  <si>
    <t>C.1</t>
  </si>
  <si>
    <t>md common req C.1: XML Schema</t>
  </si>
  <si>
    <t>http://inspire.ec.europa.eu/id/ats/metadata/2.0/common/xml-schema</t>
  </si>
  <si>
    <t>C.2</t>
  </si>
  <si>
    <t>md common req C.2: Root Element</t>
  </si>
  <si>
    <t>http://inspire.ec.europa.eu/id/ats/metadata/2.0/common/root-element</t>
  </si>
  <si>
    <t>C.5</t>
  </si>
  <si>
    <t>md common req C.5: Language Code</t>
  </si>
  <si>
    <t>http://inspire.ec.europa.eu/id/ats/metadata/2.0/common/metadata-language-code</t>
  </si>
  <si>
    <t>C.6</t>
  </si>
  <si>
    <t>md common req C.6: Metadata Point of Contact</t>
  </si>
  <si>
    <t>http://inspire.ec.europa.eu/id/ats/metadata/2.0/common/md-point-of-contact</t>
  </si>
  <si>
    <t>C.7</t>
  </si>
  <si>
    <t>md common req C.7: Metadata Date</t>
  </si>
  <si>
    <t>http://inspire.ec.europa.eu/id/ats/metadata/2.0/common/md-date</t>
  </si>
  <si>
    <t>C.8</t>
  </si>
  <si>
    <t>md common req C.8: Resource Title</t>
  </si>
  <si>
    <t>http://inspire.ec.europa.eu/id/ats/metadata/2.0/common/resource-title</t>
  </si>
  <si>
    <t>C.9</t>
  </si>
  <si>
    <t>md common req C.9: Resource Abstract</t>
  </si>
  <si>
    <t>http://inspire.ec.europa.eu/id/ats/metadata/2.0/common/resource-abstract</t>
  </si>
  <si>
    <t>C.10</t>
  </si>
  <si>
    <t>md common req C.10: Responsible Organization</t>
  </si>
  <si>
    <t>http://inspire.ec.europa.eu/id/ats/metadata/2.0/common/responsible-organisation</t>
  </si>
  <si>
    <t>C.11</t>
  </si>
  <si>
    <t>md common req C.11: Temporal Reference</t>
  </si>
  <si>
    <t>http://inspire.ec.europa.eu/id/ats/metadata/2.0/common/temporal-reference</t>
  </si>
  <si>
    <t>C.12</t>
  </si>
  <si>
    <t>md common req C.12: Max One Date of Creation</t>
  </si>
  <si>
    <t>http://inspire.ec.europa.eu/id/ats/metadata/2.0/common/max-1-date-of-creation</t>
  </si>
  <si>
    <t>C.13</t>
  </si>
  <si>
    <t>md common req C.13: Not More than one Date of Last Revision</t>
  </si>
  <si>
    <t>http://inspire.ec.europa.eu/id/ats/metadata/2.0/common/max-1-date-of-last-revision</t>
  </si>
  <si>
    <t>C.14</t>
  </si>
  <si>
    <t>md common req C.14: Temporal Extent</t>
  </si>
  <si>
    <t>http://inspire.ec.europa.eu/id/ats/metadata/2.0/common/temporal-extent</t>
  </si>
  <si>
    <t>C.15</t>
  </si>
  <si>
    <t>md common req C.15: Keyword Originating CV</t>
  </si>
  <si>
    <t>http://inspire.ec.europa.eu/id/ats/metadata/2.0/common/keyword-originating-cv</t>
  </si>
  <si>
    <t>C.16</t>
  </si>
  <si>
    <t>md common req C.16: Group Keywords by CV</t>
  </si>
  <si>
    <t>http://inspire.ec.europa.eu/id/ats/metadata/2.0/common/group-keywords-by-cv</t>
  </si>
  <si>
    <t>C.17</t>
  </si>
  <si>
    <t>md common req C.17: Limitations on Public Access</t>
  </si>
  <si>
    <t>http://inspire.ec.europa.eu/id/ats/metadata/2.0/common/limitations-on-public-access</t>
  </si>
  <si>
    <t>C.18</t>
  </si>
  <si>
    <t>md common req C.18: Conditions for Access and Use</t>
  </si>
  <si>
    <t>http://inspire.ec.europa.eu/id/ats/metadata/2.0/common/conditions-for-access-and-use</t>
  </si>
  <si>
    <t>C.19</t>
  </si>
  <si>
    <t>md common req C.19: Geographical Bounding Box</t>
  </si>
  <si>
    <t>http://inspire.ec.europa.eu/id/ats/metadata/2.0/common/bounding-box</t>
  </si>
  <si>
    <t>C.20</t>
  </si>
  <si>
    <t>md common req C.20: Dataset Conformity</t>
  </si>
  <si>
    <t>http://inspire.ec.europa.eu/id/ats/metadata/2.0/common/conformity</t>
  </si>
  <si>
    <t>C.21</t>
  </si>
  <si>
    <t>md common req C.21: Dataset Conformity Specifications</t>
  </si>
  <si>
    <t>http://inspire.ec.europa.eu/id/ats/metadata/2.0/common/conformity-specification</t>
  </si>
  <si>
    <t>C.22</t>
  </si>
  <si>
    <t>md common req C.22: Conformity Degree</t>
  </si>
  <si>
    <t>http://inspire.ec.europa.eu/id/ats/metadata/2.0/common/conformity-degree</t>
  </si>
  <si>
    <t>md datasets-and-series 1.1: Resource Type</t>
  </si>
  <si>
    <t>http://inspire.ec.europa.eu/id/ats/metadata/2.0/datasets-and-series/resource-type</t>
  </si>
  <si>
    <t>md datasets-and-series 1.2: Only One Data Identification</t>
  </si>
  <si>
    <t>http://inspire.ec.europa.eu/id/ats/metadata/2.0/datasets-and-series/only-one-md-data-identification</t>
  </si>
  <si>
    <t>md datasets-and-series 1.3: Dataset UID</t>
  </si>
  <si>
    <t>http://inspire.ec.europa.eu/id/ats/metadata/2.0/datasets-and-series/dataset-uid</t>
  </si>
  <si>
    <t>md datasets-and-series 1.4: INSPIRE Theme Keyword</t>
  </si>
  <si>
    <t>http://inspire.ec.europa.eu/id/ats/metadata/2.0/datasets-and-series/inspire-theme-keyword</t>
  </si>
  <si>
    <t>md datasets-and-series 1.5: Spatial Resolution</t>
  </si>
  <si>
    <t>http://inspire.ec.europa.eu/id/ats/metadata/2.0/datasets-and-series/spatial-resolution</t>
  </si>
  <si>
    <t>md datasets-and-series 1.6: Resource Language</t>
  </si>
  <si>
    <t>http://inspire.ec.europa.eu/id/ats/metadata/2.0/datasets-and-series/resource-language</t>
  </si>
  <si>
    <t>md datasets-and-series 1.7: Topic Category</t>
  </si>
  <si>
    <t>http://inspire.ec.europa.eu/id/ats/metadata/2.0/datasets-and-series/topic-category</t>
  </si>
  <si>
    <t>md datasets-and-series 1.8: Resource Locator</t>
  </si>
  <si>
    <t>http://inspire.ec.europa.eu/id/ats/metadata/2.0/datasets-and-series/resource-locator</t>
  </si>
  <si>
    <t>md datasets-and-series 1.9: Data Quality Info Section</t>
  </si>
  <si>
    <t>http://inspire.ec.europa.eu/id/ats/metadata/2.0/datasets-and-series/one-data-quality-element</t>
  </si>
  <si>
    <t>1.10</t>
  </si>
  <si>
    <t>md datasets-and-series 1.10: Dataset Conformity</t>
  </si>
  <si>
    <t>http://inspire.ec.europa.eu/id/ats/metadata/2.0/datasets-and-series/conformity</t>
  </si>
  <si>
    <t>md datasets-and-series 1.11: Lineage</t>
  </si>
  <si>
    <t>http://inspire.ec.europa.eu/id/ats/metadata/2.0/datasets-and-series/lineage</t>
  </si>
  <si>
    <t>md sds 3.1: Resource Type</t>
  </si>
  <si>
    <t>http://inspire.ec.europa.eu/id/ats/metadata/2.0/sds/resource-type</t>
  </si>
  <si>
    <t>md sds 3.2: Service Identification Element</t>
  </si>
  <si>
    <t>http://inspire.ec.europa.eu/id/ats/metadata/2.0/sds/service-identification-element</t>
  </si>
  <si>
    <t>md sds 3.3: Spatial Resolution</t>
  </si>
  <si>
    <t>http://inspire.ec.europa.eu/id/ats/metadata/2.0/sds/spatial-resolution</t>
  </si>
  <si>
    <t>md sds 3.4: Spatial Data Service Category</t>
  </si>
  <si>
    <t>http://inspire.ec.europa.eu/id/ats/metadata/2.0/sds/sds-category</t>
  </si>
  <si>
    <t>md sds 3.5: Spatial Data Service Type</t>
  </si>
  <si>
    <t>http://inspire.ec.europa.eu/id/ats/metadata/2.0/sds/sds-type</t>
  </si>
  <si>
    <t>md sds 3.6: Coupled Resource</t>
  </si>
  <si>
    <t>http://inspire.ec.europa.eu/id/ats/metadata/2.0/sds/coupled-resource</t>
  </si>
  <si>
    <t>md sds 3.7: Resource Locator</t>
  </si>
  <si>
    <t>http://inspire.ec.europa.eu/id/ats/metadata/2.0/sds/resource-locator</t>
  </si>
  <si>
    <t>md sds 3.8: Only One Data Quality Element</t>
  </si>
  <si>
    <t>http://inspire.ec.europa.eu/id/ats/metadata/2.0/sds/only-one-dq-element</t>
  </si>
  <si>
    <t>md ns 4.1: Spatial Data Service Type</t>
  </si>
  <si>
    <t>http://inspire.ec.europa.eu/id/ats/metadata/2.0/ns/sds-type</t>
  </si>
  <si>
    <t>md sds-invocable 5.1: Spatial Data Service Type</t>
  </si>
  <si>
    <t>http://inspire.ec.europa.eu/id/ats/metadata/2.0/sds-invocable/sds-type</t>
  </si>
  <si>
    <t>md sds-invocable 5.2: Resource Locator</t>
  </si>
  <si>
    <t>http://inspire.ec.europa.eu/id/ats/metadata/2.0/sds-invocable/access-point</t>
  </si>
  <si>
    <t>md sds-invocable 5.3: Conformity to INSPIRE Implementation Rules</t>
  </si>
  <si>
    <t>http://inspire.ec.europa.eu/id/ats/metadata/2.0/sds-invocable/conformity</t>
  </si>
  <si>
    <t>md sds-invocable 5.4: Spatial Data Service Category</t>
  </si>
  <si>
    <t>http://inspire.ec.europa.eu/id/ats/metadata/2.0/sds-invocable/sds-category</t>
  </si>
  <si>
    <t>md sds-invocable 5.5: Conformity to Technical Specifications</t>
  </si>
  <si>
    <t>http://inspire.ec.europa.eu/id/ats/metadata/2.0/sds-invocable/conformity-to-technical-specifications</t>
  </si>
  <si>
    <t>M.1</t>
  </si>
  <si>
    <t>M.1: Spatial scope keyword</t>
  </si>
  <si>
    <t>http://inspire.ec.europa.eu/id/ats/metadata/2.0/monitoring/spatial-scope</t>
  </si>
  <si>
    <t>M.2</t>
  </si>
  <si>
    <t>M.2: Priority datasets keyword</t>
  </si>
  <si>
    <t>http://inspire.ec.europa.eu/id/ats/metadata/2.0/monitoring/priority-datasets</t>
  </si>
  <si>
    <t>Country</t>
  </si>
  <si>
    <t>Endpoint ID</t>
  </si>
  <si>
    <t>BE-VLAANDEREN</t>
  </si>
  <si>
    <t>16ef7cb3-b144-4d16-bf6b-1d99ac4df143</t>
  </si>
  <si>
    <t>EE</t>
  </si>
  <si>
    <t>02c2748f-82ca-4ceb-92de-70e1d620d496</t>
  </si>
  <si>
    <t>MD</t>
  </si>
  <si>
    <t>9d92d1c4-c4b6-4d8c-8cec-0fc58989615f</t>
  </si>
  <si>
    <t>FI</t>
  </si>
  <si>
    <t>b0259e81-cd1c-4354-bfa2-5cad4c3c7308</t>
  </si>
  <si>
    <t>LT</t>
  </si>
  <si>
    <t>470a8afd-bd30-4bc6-a044-cbbc46c89c68</t>
  </si>
  <si>
    <t>RO</t>
  </si>
  <si>
    <t>f2e04512-5b00-4fd6-986f-7be30c75eb35</t>
  </si>
  <si>
    <t>PL</t>
  </si>
  <si>
    <t>85a23ec3-62d5-4c15-875d-b6802485b629</t>
  </si>
  <si>
    <t>BE-GEO</t>
  </si>
  <si>
    <t>07041901-432c-4c25-9f0a-2313871b32e9</t>
  </si>
  <si>
    <t>LU</t>
  </si>
  <si>
    <t>29f5dbeb-474e-42a3-94bc-1b76952299ad</t>
  </si>
  <si>
    <t>FR</t>
  </si>
  <si>
    <t>e44416c9-082c-4ffe-9b43-e776960f1fa2</t>
  </si>
  <si>
    <t>DK</t>
  </si>
  <si>
    <t>76edce98-d5a3-44bb-9ff5-2c29b422c5a2</t>
  </si>
  <si>
    <t>HR</t>
  </si>
  <si>
    <t>b50f8b12-5b04-4648-be93-ee103002e4f3</t>
  </si>
  <si>
    <t>CY</t>
  </si>
  <si>
    <t>0ebf78d5-7b65-40cf-9ac7-e5b2cb3771ea</t>
  </si>
  <si>
    <t>SK</t>
  </si>
  <si>
    <t>a6d029e3-fbb1-4459-86fd-e74ec0ed1b23</t>
  </si>
  <si>
    <t>CZ</t>
  </si>
  <si>
    <t>8b722540-763d-4ea2-985e-9bcf6bfe82ca</t>
  </si>
  <si>
    <t>NL</t>
  </si>
  <si>
    <t>8e9f6f41-12a5-4c7b-a75e-d0faa7974d4c</t>
  </si>
  <si>
    <t>IT</t>
  </si>
  <si>
    <t>1bae6e77-8e8e-480c-be6b-d9f47f31371b</t>
  </si>
  <si>
    <t>DE</t>
  </si>
  <si>
    <t>711a39f4-880f-4704-b005-51798adb4a3d</t>
  </si>
  <si>
    <t>SE</t>
  </si>
  <si>
    <t>deea5672-2d32-46ae-be07-aec9e4c58849</t>
  </si>
  <si>
    <t>AT</t>
  </si>
  <si>
    <t>8d8e666a-de4f-49ad-808b-01ba51b62d7d</t>
  </si>
  <si>
    <t>BE-WALLONIE</t>
  </si>
  <si>
    <t>46372588-232e-41d9-8404-118e547f9cd6</t>
  </si>
  <si>
    <t>EL</t>
  </si>
  <si>
    <t>d6c7bb79-beb4-4efc-8e99-b2b386004de7</t>
  </si>
  <si>
    <t>BE-GEOBRU</t>
  </si>
  <si>
    <t>fcbd6e24-8a3c-480b-a1c5-7c0eb3f1b86c</t>
  </si>
  <si>
    <t>LV</t>
  </si>
  <si>
    <t>7447eb94-46a8-4995-9fc0-635ff0d2f5c2</t>
  </si>
  <si>
    <t>HU</t>
  </si>
  <si>
    <t>38126778-f198-4fe3-a71f-81f994ea7401</t>
  </si>
  <si>
    <t>PT</t>
  </si>
  <si>
    <t>e5584907-90de-424d-8d40-7f7a418e569b</t>
  </si>
  <si>
    <t>MT</t>
  </si>
  <si>
    <t>04e44bbf-163c-42fa-ab6c-a2114c1eee5b</t>
  </si>
  <si>
    <t>SI</t>
  </si>
  <si>
    <t>7ca98445-49f7-4e1a-9365-627650113b6d</t>
  </si>
  <si>
    <t>BG</t>
  </si>
  <si>
    <t>0513916a-d442-4974-afd1-47d9ccc27b23</t>
  </si>
  <si>
    <t>LI</t>
  </si>
  <si>
    <t>71c96a8f-fb74-4bc6-9a15-2f798f62a7d4</t>
  </si>
  <si>
    <t>IE</t>
  </si>
  <si>
    <t>16a10f8c-5931-49b9-b9b2-923b69d36f15</t>
  </si>
  <si>
    <t>IS</t>
  </si>
  <si>
    <t>0f15a1d5-3ae5-4169-8cd0-1e9f14cf8baf</t>
  </si>
  <si>
    <t>ES</t>
  </si>
  <si>
    <t>917ecef2-030d-4f61-a874-a8fa45dbb1e5</t>
  </si>
  <si>
    <t>NO</t>
  </si>
  <si>
    <t>eafc8b78-0f9c-4e2e-a754-c2624fb84ce7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</si>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</sst>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376092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1"/>
      <color rgb="FF0000FF"/>
      <name val="Calibri"/>
      <family val="2"/>
      <charset val="1"/>
    </font>
    <font>
      <u/>
      <sz val="11"/>
      <color rgb="FF0000FF"/>
      <name val="Calibri"/>
      <family val="2"/>
      <charset val="1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Border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1" applyFont="1" applyBorder="1" applyProtection="1"/>
    <xf numFmtId="0" fontId="3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spire.ec.europa.eu/id/ats/metadata/2.0/sds-invocable/conformity" TargetMode="External"/><Relationship Id="rId7" Type="http://schemas.openxmlformats.org/officeDocument/2006/relationships/hyperlink" Target="http://inspire.ec.europa.eu/id/ats/metadata/2.0/monitoring/priority-datasets" TargetMode="External"/><Relationship Id="rId2" Type="http://schemas.openxmlformats.org/officeDocument/2006/relationships/hyperlink" Target="http://inspire.ec.europa.eu/id/ats/metadata/2.0/sds-invocable/access-point" TargetMode="External"/><Relationship Id="rId1" Type="http://schemas.openxmlformats.org/officeDocument/2006/relationships/hyperlink" Target="http://inspire.ec.europa.eu/id/ats/metadata/2.0/sds-invocable/sds-type" TargetMode="External"/><Relationship Id="rId6" Type="http://schemas.openxmlformats.org/officeDocument/2006/relationships/hyperlink" Target="http://inspire.ec.europa.eu/id/ats/metadata/2.0/monitoring/spatial-scope" TargetMode="External"/><Relationship Id="rId5" Type="http://schemas.openxmlformats.org/officeDocument/2006/relationships/hyperlink" Target="http://inspire.ec.europa.eu/id/ats/metadata/2.0/sds-invocable/conformity-to-technical-specifications" TargetMode="External"/><Relationship Id="rId4" Type="http://schemas.openxmlformats.org/officeDocument/2006/relationships/hyperlink" Target="http://inspire.ec.europa.eu/id/ats/metadata/2.0/sds-invocable/sds-categ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Normal="100" workbookViewId="0">
      <pane ySplit="4" topLeftCell="A5" activePane="bottomLeft" state="frozen"/>
      <selection pane="bottomLeft" activeCell="C3" sqref="C3"/>
    </sheetView>
  </sheetViews>
  <sheetFormatPr defaultColWidth="8.81640625" defaultRowHeight="15.5" x14ac:dyDescent="0.35"/>
  <cols>
    <col min="1" max="1" width="17" style="1" customWidth="1" collapsed="1"/>
    <col min="2" max="2" width="56.81640625" customWidth="1" collapsed="1"/>
    <col min="3" max="3" width="95" customWidth="1" collapsed="1"/>
  </cols>
  <sheetData>
    <row r="1" spans="1:3" x14ac:dyDescent="0.35">
      <c r="A1" s="2" t="s">
        <v>0</v>
      </c>
      <c r="B1" t="s">
        <v>1</v>
      </c>
    </row>
    <row r="2" spans="1:3" x14ac:dyDescent="0.35">
      <c r="A2" s="3" t="s">
        <v>2</v>
      </c>
      <c r="B2" t="s">
        <v>3</v>
      </c>
    </row>
    <row r="4" spans="1:3" s="1" customFormat="1" x14ac:dyDescent="0.35">
      <c r="A4" s="1" t="s">
        <v>4</v>
      </c>
      <c r="B4" s="1" t="s">
        <v>5</v>
      </c>
      <c r="C4" s="1" t="s">
        <v>6</v>
      </c>
    </row>
    <row r="5" spans="1:3" x14ac:dyDescent="0.35">
      <c r="A5" s="4" t="s">
        <v>7</v>
      </c>
      <c r="B5" t="s">
        <v>8</v>
      </c>
      <c r="C5" t="s">
        <v>9</v>
      </c>
    </row>
    <row r="6" spans="1:3" x14ac:dyDescent="0.35">
      <c r="A6" s="4" t="s">
        <v>10</v>
      </c>
      <c r="B6" t="s">
        <v>11</v>
      </c>
      <c r="C6" t="s">
        <v>12</v>
      </c>
    </row>
    <row r="7" spans="1:3" x14ac:dyDescent="0.35">
      <c r="A7" s="4" t="s">
        <v>13</v>
      </c>
      <c r="B7" t="s">
        <v>14</v>
      </c>
      <c r="C7" t="s">
        <v>15</v>
      </c>
    </row>
    <row r="8" spans="1:3" x14ac:dyDescent="0.35">
      <c r="A8" s="4" t="s">
        <v>16</v>
      </c>
      <c r="B8" t="s">
        <v>17</v>
      </c>
      <c r="C8" t="s">
        <v>18</v>
      </c>
    </row>
    <row r="9" spans="1:3" x14ac:dyDescent="0.35">
      <c r="A9" s="4" t="s">
        <v>19</v>
      </c>
      <c r="B9" t="s">
        <v>20</v>
      </c>
      <c r="C9" t="s">
        <v>21</v>
      </c>
    </row>
    <row r="10" spans="1:3" x14ac:dyDescent="0.35">
      <c r="A10" s="4" t="s">
        <v>22</v>
      </c>
      <c r="B10" t="s">
        <v>23</v>
      </c>
      <c r="C10" t="s">
        <v>24</v>
      </c>
    </row>
    <row r="11" spans="1:3" x14ac:dyDescent="0.35">
      <c r="A11" s="4" t="s">
        <v>25</v>
      </c>
      <c r="B11" t="s">
        <v>26</v>
      </c>
      <c r="C11" t="s">
        <v>27</v>
      </c>
    </row>
    <row r="12" spans="1:3" x14ac:dyDescent="0.35">
      <c r="A12" s="4" t="s">
        <v>28</v>
      </c>
      <c r="B12" t="s">
        <v>29</v>
      </c>
      <c r="C12" t="s">
        <v>30</v>
      </c>
    </row>
    <row r="13" spans="1:3" x14ac:dyDescent="0.35">
      <c r="A13" s="4" t="s">
        <v>31</v>
      </c>
      <c r="B13" t="s">
        <v>32</v>
      </c>
      <c r="C13" t="s">
        <v>33</v>
      </c>
    </row>
    <row r="14" spans="1:3" x14ac:dyDescent="0.35">
      <c r="A14" s="4" t="s">
        <v>34</v>
      </c>
      <c r="B14" t="s">
        <v>35</v>
      </c>
      <c r="C14" t="s">
        <v>36</v>
      </c>
    </row>
    <row r="15" spans="1:3" x14ac:dyDescent="0.35">
      <c r="A15" s="4" t="s">
        <v>37</v>
      </c>
      <c r="B15" t="s">
        <v>38</v>
      </c>
      <c r="C15" t="s">
        <v>39</v>
      </c>
    </row>
    <row r="16" spans="1:3" x14ac:dyDescent="0.35">
      <c r="A16" s="4" t="s">
        <v>40</v>
      </c>
      <c r="B16" t="s">
        <v>41</v>
      </c>
      <c r="C16" t="s">
        <v>42</v>
      </c>
    </row>
    <row r="17" spans="1:3" x14ac:dyDescent="0.35">
      <c r="A17" s="4" t="s">
        <v>43</v>
      </c>
      <c r="B17" t="s">
        <v>44</v>
      </c>
      <c r="C17" t="s">
        <v>45</v>
      </c>
    </row>
    <row r="18" spans="1:3" x14ac:dyDescent="0.35">
      <c r="A18" s="4" t="s">
        <v>46</v>
      </c>
      <c r="B18" t="s">
        <v>47</v>
      </c>
      <c r="C18" t="s">
        <v>48</v>
      </c>
    </row>
    <row r="19" spans="1:3" x14ac:dyDescent="0.35">
      <c r="A19" s="4" t="s">
        <v>49</v>
      </c>
      <c r="B19" t="s">
        <v>50</v>
      </c>
      <c r="C19" t="s">
        <v>51</v>
      </c>
    </row>
    <row r="20" spans="1:3" x14ac:dyDescent="0.35">
      <c r="A20" s="4" t="s">
        <v>52</v>
      </c>
      <c r="B20" t="s">
        <v>53</v>
      </c>
      <c r="C20" t="s">
        <v>54</v>
      </c>
    </row>
    <row r="21" spans="1:3" x14ac:dyDescent="0.35">
      <c r="A21" s="4" t="s">
        <v>55</v>
      </c>
      <c r="B21" t="s">
        <v>56</v>
      </c>
      <c r="C21" t="s">
        <v>57</v>
      </c>
    </row>
    <row r="22" spans="1:3" x14ac:dyDescent="0.35">
      <c r="A22" s="4" t="s">
        <v>58</v>
      </c>
      <c r="B22" t="s">
        <v>59</v>
      </c>
      <c r="C22" t="s">
        <v>60</v>
      </c>
    </row>
    <row r="23" spans="1:3" x14ac:dyDescent="0.35">
      <c r="A23" s="4" t="s">
        <v>61</v>
      </c>
      <c r="B23" t="s">
        <v>62</v>
      </c>
      <c r="C23" t="s">
        <v>63</v>
      </c>
    </row>
    <row r="24" spans="1:3" x14ac:dyDescent="0.35">
      <c r="A24" s="4" t="s">
        <v>64</v>
      </c>
      <c r="B24" t="s">
        <v>65</v>
      </c>
      <c r="C24" t="s">
        <v>66</v>
      </c>
    </row>
    <row r="25" spans="1:3" x14ac:dyDescent="0.35">
      <c r="A25" s="4">
        <v>1.1000000000000001</v>
      </c>
      <c r="B25" t="s">
        <v>67</v>
      </c>
      <c r="C25" t="s">
        <v>68</v>
      </c>
    </row>
    <row r="26" spans="1:3" x14ac:dyDescent="0.35">
      <c r="A26" s="4">
        <v>1.2</v>
      </c>
      <c r="B26" t="s">
        <v>69</v>
      </c>
      <c r="C26" t="s">
        <v>70</v>
      </c>
    </row>
    <row r="27" spans="1:3" x14ac:dyDescent="0.35">
      <c r="A27" s="4">
        <v>1.3</v>
      </c>
      <c r="B27" t="s">
        <v>71</v>
      </c>
      <c r="C27" t="s">
        <v>72</v>
      </c>
    </row>
    <row r="28" spans="1:3" x14ac:dyDescent="0.35">
      <c r="A28" s="4">
        <v>1.4</v>
      </c>
      <c r="B28" t="s">
        <v>73</v>
      </c>
      <c r="C28" t="s">
        <v>74</v>
      </c>
    </row>
    <row r="29" spans="1:3" x14ac:dyDescent="0.35">
      <c r="A29" s="4">
        <v>1.5</v>
      </c>
      <c r="B29" t="s">
        <v>75</v>
      </c>
      <c r="C29" t="s">
        <v>76</v>
      </c>
    </row>
    <row r="30" spans="1:3" x14ac:dyDescent="0.35">
      <c r="A30" s="4">
        <v>1.6</v>
      </c>
      <c r="B30" t="s">
        <v>77</v>
      </c>
      <c r="C30" t="s">
        <v>78</v>
      </c>
    </row>
    <row r="31" spans="1:3" x14ac:dyDescent="0.35">
      <c r="A31" s="4">
        <v>1.7</v>
      </c>
      <c r="B31" t="s">
        <v>79</v>
      </c>
      <c r="C31" t="s">
        <v>80</v>
      </c>
    </row>
    <row r="32" spans="1:3" x14ac:dyDescent="0.35">
      <c r="A32" s="4">
        <v>1.8</v>
      </c>
      <c r="B32" t="s">
        <v>81</v>
      </c>
      <c r="C32" t="s">
        <v>82</v>
      </c>
    </row>
    <row r="33" spans="1:3" x14ac:dyDescent="0.35">
      <c r="A33" s="4">
        <v>1.9</v>
      </c>
      <c r="B33" t="s">
        <v>83</v>
      </c>
      <c r="C33" t="s">
        <v>84</v>
      </c>
    </row>
    <row r="34" spans="1:3" x14ac:dyDescent="0.35">
      <c r="A34" s="4" t="s">
        <v>85</v>
      </c>
      <c r="B34" t="s">
        <v>86</v>
      </c>
      <c r="C34" t="s">
        <v>87</v>
      </c>
    </row>
    <row r="35" spans="1:3" x14ac:dyDescent="0.35">
      <c r="A35" s="4">
        <v>1.1100000000000001</v>
      </c>
      <c r="B35" t="s">
        <v>88</v>
      </c>
      <c r="C35" t="s">
        <v>89</v>
      </c>
    </row>
    <row r="36" spans="1:3" x14ac:dyDescent="0.35">
      <c r="A36" s="4">
        <v>3.1</v>
      </c>
      <c r="B36" t="s">
        <v>90</v>
      </c>
      <c r="C36" t="s">
        <v>91</v>
      </c>
    </row>
    <row r="37" spans="1:3" x14ac:dyDescent="0.35">
      <c r="A37" s="4">
        <v>3.2</v>
      </c>
      <c r="B37" t="s">
        <v>92</v>
      </c>
      <c r="C37" t="s">
        <v>93</v>
      </c>
    </row>
    <row r="38" spans="1:3" x14ac:dyDescent="0.35">
      <c r="A38" s="4">
        <v>3.3</v>
      </c>
      <c r="B38" t="s">
        <v>94</v>
      </c>
      <c r="C38" t="s">
        <v>95</v>
      </c>
    </row>
    <row r="39" spans="1:3" x14ac:dyDescent="0.35">
      <c r="A39" s="4">
        <v>3.4</v>
      </c>
      <c r="B39" t="s">
        <v>96</v>
      </c>
      <c r="C39" t="s">
        <v>97</v>
      </c>
    </row>
    <row r="40" spans="1:3" x14ac:dyDescent="0.35">
      <c r="A40" s="4">
        <v>3.5</v>
      </c>
      <c r="B40" t="s">
        <v>98</v>
      </c>
      <c r="C40" t="s">
        <v>99</v>
      </c>
    </row>
    <row r="41" spans="1:3" x14ac:dyDescent="0.35">
      <c r="A41" s="4">
        <v>3.6</v>
      </c>
      <c r="B41" t="s">
        <v>100</v>
      </c>
      <c r="C41" t="s">
        <v>101</v>
      </c>
    </row>
    <row r="42" spans="1:3" x14ac:dyDescent="0.35">
      <c r="A42" s="4">
        <v>3.7</v>
      </c>
      <c r="B42" t="s">
        <v>102</v>
      </c>
      <c r="C42" t="s">
        <v>103</v>
      </c>
    </row>
    <row r="43" spans="1:3" x14ac:dyDescent="0.35">
      <c r="A43" s="4">
        <v>3.8</v>
      </c>
      <c r="B43" t="s">
        <v>104</v>
      </c>
      <c r="C43" t="s">
        <v>105</v>
      </c>
    </row>
    <row r="44" spans="1:3" x14ac:dyDescent="0.35">
      <c r="A44" s="4">
        <v>4.0999999999999996</v>
      </c>
      <c r="B44" t="s">
        <v>106</v>
      </c>
      <c r="C44" t="s">
        <v>107</v>
      </c>
    </row>
    <row r="45" spans="1:3" x14ac:dyDescent="0.35">
      <c r="A45" s="4">
        <v>5.0999999999999996</v>
      </c>
      <c r="B45" t="s">
        <v>108</v>
      </c>
      <c r="C45" s="5" t="s">
        <v>109</v>
      </c>
    </row>
    <row r="46" spans="1:3" x14ac:dyDescent="0.35">
      <c r="A46" s="4">
        <v>5.2</v>
      </c>
      <c r="B46" t="s">
        <v>110</v>
      </c>
      <c r="C46" s="5" t="s">
        <v>111</v>
      </c>
    </row>
    <row r="47" spans="1:3" x14ac:dyDescent="0.35">
      <c r="A47" s="4">
        <v>5.3</v>
      </c>
      <c r="B47" t="s">
        <v>112</v>
      </c>
      <c r="C47" s="5" t="s">
        <v>113</v>
      </c>
    </row>
    <row r="48" spans="1:3" x14ac:dyDescent="0.35">
      <c r="A48" s="4">
        <v>5.4</v>
      </c>
      <c r="B48" t="s">
        <v>114</v>
      </c>
      <c r="C48" s="5" t="s">
        <v>115</v>
      </c>
    </row>
    <row r="49" spans="1:3" x14ac:dyDescent="0.35">
      <c r="A49" s="4">
        <v>5.5</v>
      </c>
      <c r="B49" t="s">
        <v>116</v>
      </c>
      <c r="C49" s="5" t="s">
        <v>117</v>
      </c>
    </row>
    <row r="50" spans="1:3" x14ac:dyDescent="0.35">
      <c r="A50" s="4" t="s">
        <v>118</v>
      </c>
      <c r="B50" t="s">
        <v>119</v>
      </c>
      <c r="C50" s="5" t="s">
        <v>120</v>
      </c>
    </row>
    <row r="51" spans="1:3" x14ac:dyDescent="0.35">
      <c r="A51" s="4" t="s">
        <v>121</v>
      </c>
      <c r="B51" t="s">
        <v>122</v>
      </c>
      <c r="C51" s="5" t="s">
        <v>123</v>
      </c>
    </row>
  </sheetData>
  <hyperlinks>
    <hyperlink ref="C45" r:id="rId1" xr:uid="{00000000-0004-0000-0000-000000000000}"/>
    <hyperlink ref="C46" r:id="rId2" xr:uid="{00000000-0004-0000-0000-000001000000}"/>
    <hyperlink ref="C47" r:id="rId3" xr:uid="{00000000-0004-0000-0000-000002000000}"/>
    <hyperlink ref="C48" r:id="rId4" xr:uid="{00000000-0004-0000-0000-000003000000}"/>
    <hyperlink ref="C49" r:id="rId5" xr:uid="{00000000-0004-0000-0000-000004000000}"/>
    <hyperlink ref="C50" r:id="rId6" xr:uid="{00000000-0004-0000-0000-000005000000}"/>
    <hyperlink ref="C51" r:id="rId7" xr:uid="{00000000-0004-0000-0000-000006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6"/>
  <sheetViews>
    <sheetView tabSelected="1" zoomScaleNormal="100" workbookViewId="0">
      <pane ySplit="1" topLeftCell="A8" activePane="bottomLeft" state="frozen"/>
      <selection pane="bottomLeft" activeCell="C36" sqref="C36"/>
    </sheetView>
  </sheetViews>
  <sheetFormatPr defaultColWidth="8.81640625" defaultRowHeight="14.5" x14ac:dyDescent="0.35"/>
  <cols>
    <col min="1" max="1" width="15.26953125" style="8" customWidth="1" collapsed="1"/>
    <col min="2" max="2" width="37.26953125" customWidth="1" collapsed="1"/>
    <col min="3" max="3" width="10.54296875" customWidth="1" collapsed="1"/>
    <col min="4" max="4" width="8.54296875" customWidth="1" collapsed="1"/>
    <col min="5" max="37" width="6.54296875" customWidth="1" collapsed="1"/>
  </cols>
  <sheetData>
    <row r="1" spans="1:37" ht="15.5" x14ac:dyDescent="0.35">
      <c r="A1" s="7" t="s">
        <v>124</v>
      </c>
      <c r="B1" s="1" t="s">
        <v>125</v>
      </c>
      <c r="C1" s="2" t="s">
        <v>0</v>
      </c>
      <c r="D1" s="3" t="s">
        <v>2</v>
      </c>
      <c r="E1" s="6" t="s">
        <v>7</v>
      </c>
      <c r="F1" s="6" t="s">
        <v>10</v>
      </c>
      <c r="G1" s="6" t="s">
        <v>13</v>
      </c>
      <c r="H1" s="6" t="s">
        <v>16</v>
      </c>
      <c r="I1" s="6" t="s">
        <v>19</v>
      </c>
      <c r="J1" s="6" t="s">
        <v>22</v>
      </c>
      <c r="K1" s="6" t="s">
        <v>25</v>
      </c>
      <c r="L1" s="6" t="s">
        <v>28</v>
      </c>
      <c r="M1" s="6" t="s">
        <v>31</v>
      </c>
      <c r="N1" s="6" t="s">
        <v>34</v>
      </c>
      <c r="O1" s="6" t="s">
        <v>37</v>
      </c>
      <c r="P1" s="6" t="s">
        <v>40</v>
      </c>
      <c r="Q1" s="6" t="s">
        <v>43</v>
      </c>
      <c r="R1" s="6" t="s">
        <v>46</v>
      </c>
      <c r="S1" s="6" t="s">
        <v>49</v>
      </c>
      <c r="T1" s="6" t="s">
        <v>52</v>
      </c>
      <c r="U1" s="6" t="s">
        <v>55</v>
      </c>
      <c r="V1" s="6" t="s">
        <v>58</v>
      </c>
      <c r="W1" s="6" t="s">
        <v>61</v>
      </c>
      <c r="X1" s="6" t="s">
        <v>64</v>
      </c>
      <c r="Y1" s="6" t="s">
        <v>118</v>
      </c>
      <c r="Z1" s="6" t="s">
        <v>121</v>
      </c>
      <c r="AA1" s="6">
        <v>1.1000000000000001</v>
      </c>
      <c r="AB1" s="6">
        <v>1.2</v>
      </c>
      <c r="AC1" s="6">
        <v>1.3</v>
      </c>
      <c r="AD1" s="6">
        <v>1.4</v>
      </c>
      <c r="AE1" s="6">
        <v>1.5</v>
      </c>
      <c r="AF1" s="6">
        <v>1.6</v>
      </c>
      <c r="AG1" s="6">
        <v>1.7</v>
      </c>
      <c r="AH1" s="6">
        <v>1.8</v>
      </c>
      <c r="AI1" s="6">
        <v>1.9</v>
      </c>
      <c r="AJ1" s="6">
        <v>1.1000000000000001</v>
      </c>
      <c r="AK1" s="6">
        <v>1.1100000000000001</v>
      </c>
    </row>
    <row r="2" spans="1:37" x14ac:dyDescent="0.35">
      <c r="A2" s="8" t="s">
        <v>164</v>
      </c>
      <c r="B2" t="s">
        <v>165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5">
      <c r="A3" s="8" t="s">
        <v>140</v>
      </c>
      <c r="B3" t="s">
        <v>141</v>
      </c>
      <c r="C3">
        <v>44</v>
      </c>
      <c r="D3">
        <v>0</v>
      </c>
      <c r="E3">
        <v>43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43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</row>
    <row r="4" spans="1:37" x14ac:dyDescent="0.35">
      <c r="A4" s="8" t="s">
        <v>170</v>
      </c>
      <c r="B4" t="s">
        <v>171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5">
      <c r="A5" s="8" t="s">
        <v>126</v>
      </c>
      <c r="B5" t="s">
        <v>127</v>
      </c>
      <c r="C5">
        <v>194</v>
      </c>
      <c r="D5">
        <v>0</v>
      </c>
      <c r="E5">
        <v>179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7</v>
      </c>
      <c r="AA5">
        <v>0</v>
      </c>
      <c r="AB5">
        <v>0</v>
      </c>
      <c r="AC5">
        <v>0</v>
      </c>
      <c r="AD5">
        <v>2</v>
      </c>
      <c r="AE5">
        <v>2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</row>
    <row r="6" spans="1:37" x14ac:dyDescent="0.35">
      <c r="A6" s="8" t="s">
        <v>166</v>
      </c>
      <c r="B6" t="s">
        <v>167</v>
      </c>
      <c r="C6">
        <v>29</v>
      </c>
      <c r="D6">
        <v>0</v>
      </c>
      <c r="E6">
        <v>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2</v>
      </c>
    </row>
    <row r="7" spans="1:37" x14ac:dyDescent="0.35">
      <c r="A7" s="8" t="s">
        <v>182</v>
      </c>
      <c r="B7" t="s">
        <v>183</v>
      </c>
      <c r="C7">
        <v>128</v>
      </c>
      <c r="D7">
        <v>3</v>
      </c>
      <c r="E7">
        <v>36</v>
      </c>
      <c r="F7">
        <v>0</v>
      </c>
      <c r="G7">
        <v>1</v>
      </c>
      <c r="H7">
        <v>52</v>
      </c>
      <c r="I7">
        <v>0</v>
      </c>
      <c r="J7">
        <v>2</v>
      </c>
      <c r="K7">
        <v>2</v>
      </c>
      <c r="L7">
        <v>42</v>
      </c>
      <c r="M7">
        <v>1</v>
      </c>
      <c r="N7">
        <v>0</v>
      </c>
      <c r="O7">
        <v>0</v>
      </c>
      <c r="P7">
        <v>25</v>
      </c>
      <c r="Q7">
        <v>0</v>
      </c>
      <c r="R7">
        <v>0</v>
      </c>
      <c r="S7">
        <v>27</v>
      </c>
      <c r="T7">
        <v>6</v>
      </c>
      <c r="U7">
        <v>5</v>
      </c>
      <c r="V7">
        <v>3</v>
      </c>
      <c r="W7">
        <v>4</v>
      </c>
      <c r="X7">
        <v>6</v>
      </c>
      <c r="Y7">
        <v>41</v>
      </c>
      <c r="Z7">
        <v>41</v>
      </c>
      <c r="AA7">
        <v>3</v>
      </c>
      <c r="AB7">
        <v>2</v>
      </c>
      <c r="AC7">
        <v>9</v>
      </c>
      <c r="AD7">
        <v>49</v>
      </c>
      <c r="AE7">
        <v>0</v>
      </c>
      <c r="AF7">
        <v>6</v>
      </c>
      <c r="AG7">
        <v>6</v>
      </c>
      <c r="AH7">
        <v>0</v>
      </c>
      <c r="AI7">
        <v>3</v>
      </c>
      <c r="AJ7">
        <v>7</v>
      </c>
      <c r="AK7">
        <v>48</v>
      </c>
    </row>
    <row r="8" spans="1:37" x14ac:dyDescent="0.35">
      <c r="A8" s="8" t="s">
        <v>150</v>
      </c>
      <c r="B8" t="s">
        <v>151</v>
      </c>
      <c r="C8">
        <v>43</v>
      </c>
      <c r="D8">
        <v>0</v>
      </c>
      <c r="E8">
        <v>42</v>
      </c>
      <c r="F8">
        <v>0</v>
      </c>
      <c r="G8">
        <v>43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43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5</v>
      </c>
      <c r="AA8">
        <v>0</v>
      </c>
      <c r="AB8">
        <v>0</v>
      </c>
      <c r="AC8">
        <v>29</v>
      </c>
      <c r="AD8">
        <v>5</v>
      </c>
      <c r="AE8">
        <v>0</v>
      </c>
      <c r="AF8">
        <v>43</v>
      </c>
      <c r="AG8">
        <v>0</v>
      </c>
      <c r="AH8">
        <v>0</v>
      </c>
      <c r="AI8">
        <v>0</v>
      </c>
      <c r="AJ8">
        <v>43</v>
      </c>
      <c r="AK8">
        <v>0</v>
      </c>
    </row>
    <row r="9" spans="1:37" x14ac:dyDescent="0.35">
      <c r="A9" s="8" t="s">
        <v>154</v>
      </c>
      <c r="B9" t="s">
        <v>155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</v>
      </c>
      <c r="AK9">
        <v>0</v>
      </c>
    </row>
    <row r="10" spans="1:37" x14ac:dyDescent="0.35">
      <c r="A10" s="8" t="s">
        <v>160</v>
      </c>
      <c r="B10" t="s">
        <v>161</v>
      </c>
      <c r="C10">
        <v>34391</v>
      </c>
      <c r="D10">
        <v>5</v>
      </c>
      <c r="E10">
        <v>0</v>
      </c>
      <c r="F10">
        <v>0</v>
      </c>
      <c r="G10">
        <v>6</v>
      </c>
      <c r="H10">
        <v>131</v>
      </c>
      <c r="I10">
        <v>0</v>
      </c>
      <c r="J10">
        <v>0</v>
      </c>
      <c r="K10">
        <v>40</v>
      </c>
      <c r="L10">
        <v>226</v>
      </c>
      <c r="M10">
        <v>10</v>
      </c>
      <c r="N10">
        <v>0</v>
      </c>
      <c r="O10">
        <v>13</v>
      </c>
      <c r="P10">
        <v>280</v>
      </c>
      <c r="Q10">
        <v>1</v>
      </c>
      <c r="R10">
        <v>820</v>
      </c>
      <c r="S10">
        <v>32430</v>
      </c>
      <c r="T10">
        <v>934</v>
      </c>
      <c r="U10">
        <v>122</v>
      </c>
      <c r="V10">
        <v>5</v>
      </c>
      <c r="W10">
        <v>6</v>
      </c>
      <c r="X10">
        <v>7</v>
      </c>
      <c r="Y10">
        <v>942</v>
      </c>
      <c r="Z10">
        <v>13</v>
      </c>
      <c r="AA10">
        <v>3</v>
      </c>
      <c r="AB10">
        <v>0</v>
      </c>
      <c r="AC10">
        <v>1</v>
      </c>
      <c r="AD10">
        <v>54</v>
      </c>
      <c r="AE10">
        <v>459</v>
      </c>
      <c r="AF10">
        <v>100</v>
      </c>
      <c r="AG10">
        <v>12</v>
      </c>
      <c r="AH10">
        <v>53</v>
      </c>
      <c r="AI10">
        <v>10</v>
      </c>
      <c r="AJ10">
        <v>89</v>
      </c>
      <c r="AK10">
        <v>153</v>
      </c>
    </row>
    <row r="11" spans="1:37" x14ac:dyDescent="0.35">
      <c r="A11" s="8" t="s">
        <v>146</v>
      </c>
      <c r="B11" t="s">
        <v>147</v>
      </c>
      <c r="C11">
        <v>62</v>
      </c>
      <c r="D11">
        <v>0</v>
      </c>
      <c r="E11">
        <v>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3</v>
      </c>
      <c r="Q11">
        <v>0</v>
      </c>
      <c r="R11">
        <v>4</v>
      </c>
      <c r="S11">
        <v>38</v>
      </c>
      <c r="T11">
        <v>17</v>
      </c>
      <c r="U11">
        <v>1</v>
      </c>
      <c r="V11">
        <v>1</v>
      </c>
      <c r="W11">
        <v>1</v>
      </c>
      <c r="X11">
        <v>1</v>
      </c>
      <c r="Y11">
        <v>16</v>
      </c>
      <c r="Z11">
        <v>0</v>
      </c>
      <c r="AA11">
        <v>0</v>
      </c>
      <c r="AB11">
        <v>0</v>
      </c>
      <c r="AC11">
        <v>4</v>
      </c>
      <c r="AD11">
        <v>3</v>
      </c>
      <c r="AE11">
        <v>1</v>
      </c>
      <c r="AF11">
        <v>1</v>
      </c>
      <c r="AG11">
        <v>0</v>
      </c>
      <c r="AH11">
        <v>21</v>
      </c>
      <c r="AI11">
        <v>0</v>
      </c>
      <c r="AJ11">
        <v>7</v>
      </c>
      <c r="AK11">
        <v>9</v>
      </c>
    </row>
    <row r="12" spans="1:37" x14ac:dyDescent="0.35">
      <c r="A12" s="8" t="s">
        <v>128</v>
      </c>
      <c r="B12" t="s">
        <v>129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s="8" t="s">
        <v>168</v>
      </c>
      <c r="B13" t="s">
        <v>169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s="8" t="s">
        <v>190</v>
      </c>
      <c r="B14" t="s">
        <v>191</v>
      </c>
      <c r="C14">
        <v>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</v>
      </c>
      <c r="AH14">
        <v>0</v>
      </c>
      <c r="AI14">
        <v>0</v>
      </c>
      <c r="AJ14">
        <v>0</v>
      </c>
      <c r="AK14">
        <v>0</v>
      </c>
    </row>
    <row r="15" spans="1:37" x14ac:dyDescent="0.35">
      <c r="A15" s="8" t="s">
        <v>132</v>
      </c>
      <c r="B15" t="s">
        <v>133</v>
      </c>
      <c r="C15">
        <v>2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</row>
    <row r="16" spans="1:37" x14ac:dyDescent="0.35">
      <c r="A16" s="8" t="s">
        <v>144</v>
      </c>
      <c r="B16" t="s">
        <v>145</v>
      </c>
      <c r="C16">
        <v>88</v>
      </c>
      <c r="D16">
        <v>1</v>
      </c>
      <c r="E16">
        <v>36</v>
      </c>
      <c r="F16">
        <v>0</v>
      </c>
      <c r="G16">
        <v>29</v>
      </c>
      <c r="H16">
        <v>22</v>
      </c>
      <c r="I16">
        <v>0</v>
      </c>
      <c r="J16">
        <v>0</v>
      </c>
      <c r="K16">
        <v>0</v>
      </c>
      <c r="L16">
        <v>15</v>
      </c>
      <c r="M16">
        <v>4</v>
      </c>
      <c r="N16">
        <v>0</v>
      </c>
      <c r="O16">
        <v>1</v>
      </c>
      <c r="P16">
        <v>10</v>
      </c>
      <c r="Q16">
        <v>28</v>
      </c>
      <c r="R16">
        <v>11</v>
      </c>
      <c r="S16">
        <v>65</v>
      </c>
      <c r="T16">
        <v>34</v>
      </c>
      <c r="U16">
        <v>3</v>
      </c>
      <c r="V16">
        <v>16</v>
      </c>
      <c r="W16">
        <v>16</v>
      </c>
      <c r="X16">
        <v>17</v>
      </c>
      <c r="Y16">
        <v>12</v>
      </c>
      <c r="Z16">
        <v>33</v>
      </c>
      <c r="AA16">
        <v>1</v>
      </c>
      <c r="AB16">
        <v>0</v>
      </c>
      <c r="AC16">
        <v>0</v>
      </c>
      <c r="AD16">
        <v>16</v>
      </c>
      <c r="AE16">
        <v>0</v>
      </c>
      <c r="AF16">
        <v>36</v>
      </c>
      <c r="AG16">
        <v>1</v>
      </c>
      <c r="AH16">
        <v>1</v>
      </c>
      <c r="AI16">
        <v>19</v>
      </c>
      <c r="AJ16">
        <v>21</v>
      </c>
      <c r="AK16">
        <v>0</v>
      </c>
    </row>
    <row r="17" spans="1:37" x14ac:dyDescent="0.35">
      <c r="A17" s="8" t="s">
        <v>148</v>
      </c>
      <c r="B17" t="s">
        <v>149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s="8" t="s">
        <v>174</v>
      </c>
      <c r="B18" t="s">
        <v>175</v>
      </c>
      <c r="C18">
        <v>48</v>
      </c>
      <c r="D18">
        <v>0</v>
      </c>
      <c r="E18">
        <v>11</v>
      </c>
      <c r="F18">
        <v>0</v>
      </c>
      <c r="G18">
        <v>11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0</v>
      </c>
      <c r="O18">
        <v>0</v>
      </c>
      <c r="P18">
        <v>0</v>
      </c>
      <c r="Q18">
        <v>4</v>
      </c>
      <c r="R18">
        <v>12</v>
      </c>
      <c r="S18">
        <v>38</v>
      </c>
      <c r="T18">
        <v>10</v>
      </c>
      <c r="U18">
        <v>6</v>
      </c>
      <c r="V18">
        <v>1</v>
      </c>
      <c r="W18">
        <v>1</v>
      </c>
      <c r="X18">
        <v>9</v>
      </c>
      <c r="Y18">
        <v>0</v>
      </c>
      <c r="Z18">
        <v>10</v>
      </c>
      <c r="AA18">
        <v>0</v>
      </c>
      <c r="AB18">
        <v>0</v>
      </c>
      <c r="AC18">
        <v>0</v>
      </c>
      <c r="AD18">
        <v>3</v>
      </c>
      <c r="AE18">
        <v>0</v>
      </c>
      <c r="AF18">
        <v>15</v>
      </c>
      <c r="AG18">
        <v>0</v>
      </c>
      <c r="AH18">
        <v>1</v>
      </c>
      <c r="AI18">
        <v>0</v>
      </c>
      <c r="AJ18">
        <v>9</v>
      </c>
      <c r="AK18">
        <v>0</v>
      </c>
    </row>
    <row r="19" spans="1:37" x14ac:dyDescent="0.35">
      <c r="A19" s="8" t="s">
        <v>186</v>
      </c>
      <c r="B19" t="s">
        <v>187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5">
      <c r="A20" s="8" t="s">
        <v>188</v>
      </c>
      <c r="B20" t="s">
        <v>189</v>
      </c>
      <c r="C20">
        <v>24</v>
      </c>
      <c r="D20">
        <v>1</v>
      </c>
      <c r="E20">
        <v>3</v>
      </c>
      <c r="F20">
        <v>0</v>
      </c>
      <c r="G20">
        <v>0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2</v>
      </c>
      <c r="S20">
        <v>7</v>
      </c>
      <c r="T20">
        <v>3</v>
      </c>
      <c r="U20">
        <v>0</v>
      </c>
      <c r="V20">
        <v>1</v>
      </c>
      <c r="W20">
        <v>1</v>
      </c>
      <c r="X20">
        <v>3</v>
      </c>
      <c r="Y20">
        <v>3</v>
      </c>
      <c r="Z20">
        <v>4</v>
      </c>
      <c r="AA20">
        <v>1</v>
      </c>
      <c r="AB20">
        <v>0</v>
      </c>
      <c r="AC20">
        <v>0</v>
      </c>
      <c r="AD20">
        <v>5</v>
      </c>
      <c r="AE20">
        <v>1</v>
      </c>
      <c r="AF20">
        <v>1</v>
      </c>
      <c r="AG20">
        <v>0</v>
      </c>
      <c r="AH20">
        <v>2</v>
      </c>
      <c r="AI20">
        <v>0</v>
      </c>
      <c r="AJ20">
        <v>5</v>
      </c>
      <c r="AK20">
        <v>0</v>
      </c>
    </row>
    <row r="21" spans="1:37" x14ac:dyDescent="0.35">
      <c r="A21" s="8" t="s">
        <v>158</v>
      </c>
      <c r="B21" t="s">
        <v>159</v>
      </c>
      <c r="C21">
        <v>874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7</v>
      </c>
      <c r="Q21">
        <v>0</v>
      </c>
      <c r="R21">
        <v>13</v>
      </c>
      <c r="S21">
        <v>6</v>
      </c>
      <c r="T21">
        <v>1</v>
      </c>
      <c r="U21">
        <v>0</v>
      </c>
      <c r="V21">
        <v>0</v>
      </c>
      <c r="W21">
        <v>0</v>
      </c>
      <c r="X21">
        <v>0</v>
      </c>
      <c r="Y21">
        <v>744</v>
      </c>
      <c r="Z21">
        <v>51</v>
      </c>
      <c r="AA21">
        <v>0</v>
      </c>
      <c r="AB21">
        <v>0</v>
      </c>
      <c r="AC21">
        <v>0</v>
      </c>
      <c r="AD21">
        <v>169</v>
      </c>
      <c r="AE21">
        <v>0</v>
      </c>
      <c r="AF21">
        <v>0</v>
      </c>
      <c r="AG21">
        <v>2</v>
      </c>
      <c r="AH21">
        <v>17</v>
      </c>
      <c r="AI21">
        <v>0</v>
      </c>
      <c r="AJ21">
        <v>0</v>
      </c>
      <c r="AK21">
        <v>1</v>
      </c>
    </row>
    <row r="22" spans="1:37" x14ac:dyDescent="0.35">
      <c r="A22" s="8" t="s">
        <v>184</v>
      </c>
      <c r="B22" t="s">
        <v>185</v>
      </c>
      <c r="C22">
        <v>15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11</v>
      </c>
      <c r="T22">
        <v>10</v>
      </c>
      <c r="U22">
        <v>0</v>
      </c>
      <c r="V22">
        <v>1</v>
      </c>
      <c r="W22">
        <v>1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</row>
    <row r="23" spans="1:37" x14ac:dyDescent="0.35">
      <c r="A23" s="8" t="s">
        <v>134</v>
      </c>
      <c r="B23" t="s">
        <v>135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5">
      <c r="A24" s="8" t="s">
        <v>142</v>
      </c>
      <c r="B24" t="s">
        <v>143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5">
      <c r="A25" s="8" t="s">
        <v>172</v>
      </c>
      <c r="B25" t="s">
        <v>173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s="8" t="s">
        <v>130</v>
      </c>
      <c r="B26" t="s">
        <v>131</v>
      </c>
      <c r="C26">
        <v>121</v>
      </c>
      <c r="D26">
        <v>0</v>
      </c>
      <c r="E26">
        <v>48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3</v>
      </c>
      <c r="M26">
        <v>3</v>
      </c>
      <c r="N26">
        <v>0</v>
      </c>
      <c r="O26">
        <v>2</v>
      </c>
      <c r="P26">
        <v>0</v>
      </c>
      <c r="Q26">
        <v>0</v>
      </c>
      <c r="R26">
        <v>0</v>
      </c>
      <c r="S26">
        <v>51</v>
      </c>
      <c r="T26">
        <v>0</v>
      </c>
      <c r="U26">
        <v>0</v>
      </c>
      <c r="V26">
        <v>0</v>
      </c>
      <c r="W26">
        <v>0</v>
      </c>
      <c r="X26">
        <v>0</v>
      </c>
      <c r="Y26">
        <v>69</v>
      </c>
      <c r="Z26">
        <v>75</v>
      </c>
      <c r="AA26">
        <v>0</v>
      </c>
      <c r="AB26">
        <v>0</v>
      </c>
      <c r="AC26">
        <v>18</v>
      </c>
      <c r="AD26">
        <v>10</v>
      </c>
      <c r="AE26">
        <v>27</v>
      </c>
      <c r="AF26">
        <v>0</v>
      </c>
      <c r="AG26">
        <v>3</v>
      </c>
      <c r="AH26">
        <v>1</v>
      </c>
      <c r="AI26">
        <v>0</v>
      </c>
      <c r="AJ26">
        <v>1</v>
      </c>
      <c r="AK26">
        <v>9</v>
      </c>
    </row>
    <row r="27" spans="1:37" x14ac:dyDescent="0.35">
      <c r="A27" s="8" t="s">
        <v>178</v>
      </c>
      <c r="B27" t="s">
        <v>179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5">
      <c r="A28" s="8" t="s">
        <v>156</v>
      </c>
      <c r="B28" t="s">
        <v>157</v>
      </c>
      <c r="C28">
        <v>40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0</v>
      </c>
      <c r="R28">
        <v>0</v>
      </c>
      <c r="S28">
        <v>8</v>
      </c>
      <c r="T28">
        <v>1</v>
      </c>
      <c r="U28">
        <v>0</v>
      </c>
      <c r="V28">
        <v>3</v>
      </c>
      <c r="W28">
        <v>3</v>
      </c>
      <c r="X28">
        <v>3</v>
      </c>
      <c r="Y28">
        <v>6</v>
      </c>
      <c r="Z28">
        <v>8</v>
      </c>
      <c r="AA28">
        <v>0</v>
      </c>
      <c r="AB28">
        <v>0</v>
      </c>
      <c r="AC28">
        <v>0</v>
      </c>
      <c r="AD28">
        <v>6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7</v>
      </c>
      <c r="AK28">
        <v>0</v>
      </c>
    </row>
    <row r="29" spans="1:37" x14ac:dyDescent="0.35">
      <c r="A29" s="8" t="s">
        <v>192</v>
      </c>
      <c r="B29" t="s">
        <v>193</v>
      </c>
      <c r="C29">
        <v>28</v>
      </c>
      <c r="D29">
        <v>0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19</v>
      </c>
    </row>
    <row r="30" spans="1:37" x14ac:dyDescent="0.35">
      <c r="A30" s="8" t="s">
        <v>138</v>
      </c>
      <c r="B30" t="s">
        <v>139</v>
      </c>
      <c r="C30">
        <v>23</v>
      </c>
      <c r="D30">
        <v>0</v>
      </c>
      <c r="E30">
        <v>21</v>
      </c>
      <c r="F30">
        <v>0</v>
      </c>
      <c r="G30">
        <v>0</v>
      </c>
      <c r="H30">
        <v>23</v>
      </c>
      <c r="I30">
        <v>0</v>
      </c>
      <c r="J30">
        <v>21</v>
      </c>
      <c r="K30">
        <v>21</v>
      </c>
      <c r="L30">
        <v>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21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21</v>
      </c>
    </row>
    <row r="31" spans="1:37" x14ac:dyDescent="0.35">
      <c r="A31" s="8" t="s">
        <v>176</v>
      </c>
      <c r="B31" t="s">
        <v>177</v>
      </c>
      <c r="C31">
        <v>47</v>
      </c>
      <c r="D31">
        <v>0</v>
      </c>
      <c r="E31">
        <v>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2</v>
      </c>
      <c r="U31">
        <v>6</v>
      </c>
      <c r="V31">
        <v>11</v>
      </c>
      <c r="W31">
        <v>11</v>
      </c>
      <c r="X31">
        <v>11</v>
      </c>
      <c r="Y31">
        <v>5</v>
      </c>
      <c r="Z31">
        <v>6</v>
      </c>
      <c r="AA31">
        <v>0</v>
      </c>
      <c r="AB31">
        <v>0</v>
      </c>
      <c r="AC31">
        <v>0</v>
      </c>
      <c r="AD31">
        <v>6</v>
      </c>
      <c r="AE31">
        <v>2</v>
      </c>
      <c r="AF31">
        <v>0</v>
      </c>
      <c r="AG31">
        <v>1</v>
      </c>
      <c r="AH31">
        <v>0</v>
      </c>
      <c r="AI31">
        <v>0</v>
      </c>
      <c r="AJ31">
        <v>13</v>
      </c>
      <c r="AK31">
        <v>3</v>
      </c>
    </row>
    <row r="32" spans="1:37" x14ac:dyDescent="0.35">
      <c r="A32" s="8" t="s">
        <v>136</v>
      </c>
      <c r="B32" t="s">
        <v>137</v>
      </c>
      <c r="C32">
        <v>50</v>
      </c>
      <c r="D32">
        <v>0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</row>
    <row r="33" spans="1:37" x14ac:dyDescent="0.35">
      <c r="A33" s="8" t="s">
        <v>162</v>
      </c>
      <c r="B33" t="s">
        <v>163</v>
      </c>
      <c r="C33">
        <v>50</v>
      </c>
      <c r="D33">
        <v>0</v>
      </c>
      <c r="E33">
        <v>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17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8</v>
      </c>
    </row>
    <row r="34" spans="1:37" x14ac:dyDescent="0.35">
      <c r="A34" s="8" t="s">
        <v>180</v>
      </c>
      <c r="B34" t="s">
        <v>181</v>
      </c>
      <c r="C34">
        <v>34</v>
      </c>
      <c r="D34">
        <v>0</v>
      </c>
      <c r="E34">
        <v>30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31</v>
      </c>
      <c r="T34">
        <v>25</v>
      </c>
      <c r="U34">
        <v>4</v>
      </c>
      <c r="V34">
        <v>5</v>
      </c>
      <c r="W34">
        <v>5</v>
      </c>
      <c r="X34">
        <v>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6</v>
      </c>
      <c r="AK34">
        <v>0</v>
      </c>
    </row>
    <row r="35" spans="1:37" x14ac:dyDescent="0.35">
      <c r="A35" s="8" t="s">
        <v>152</v>
      </c>
      <c r="B35" t="s">
        <v>153</v>
      </c>
      <c r="C35">
        <v>5</v>
      </c>
      <c r="D35">
        <v>1</v>
      </c>
      <c r="E35">
        <v>3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2</v>
      </c>
      <c r="AK35">
        <v>1</v>
      </c>
    </row>
    <row r="36" spans="1:37" x14ac:dyDescent="0.35">
      <c r="A36" s="8" t="s">
        <v>194</v>
      </c>
      <c r="C36">
        <f>SUM(C2:C35)</f>
        <v>36367</v>
      </c>
      <c r="D36">
        <f t="shared" ref="D36:AK36" si="0">SUM(D2:D35)</f>
        <v>11</v>
      </c>
      <c r="E36">
        <f t="shared" si="0"/>
        <v>555</v>
      </c>
      <c r="F36">
        <f t="shared" si="0"/>
        <v>0</v>
      </c>
      <c r="G36">
        <f t="shared" si="0"/>
        <v>95</v>
      </c>
      <c r="H36">
        <f t="shared" si="0"/>
        <v>236</v>
      </c>
      <c r="I36">
        <f t="shared" si="0"/>
        <v>0</v>
      </c>
      <c r="J36">
        <f t="shared" si="0"/>
        <v>24</v>
      </c>
      <c r="K36">
        <f t="shared" si="0"/>
        <v>64</v>
      </c>
      <c r="L36">
        <f t="shared" si="0"/>
        <v>310</v>
      </c>
      <c r="M36">
        <f t="shared" si="0"/>
        <v>32</v>
      </c>
      <c r="N36">
        <f t="shared" si="0"/>
        <v>1</v>
      </c>
      <c r="O36">
        <f t="shared" si="0"/>
        <v>18</v>
      </c>
      <c r="P36">
        <f t="shared" si="0"/>
        <v>331</v>
      </c>
      <c r="Q36">
        <f t="shared" si="0"/>
        <v>77</v>
      </c>
      <c r="R36">
        <f t="shared" si="0"/>
        <v>865</v>
      </c>
      <c r="S36">
        <f t="shared" si="0"/>
        <v>32763</v>
      </c>
      <c r="T36">
        <f t="shared" si="0"/>
        <v>1046</v>
      </c>
      <c r="U36">
        <f t="shared" si="0"/>
        <v>152</v>
      </c>
      <c r="V36">
        <f t="shared" si="0"/>
        <v>47</v>
      </c>
      <c r="W36">
        <f t="shared" si="0"/>
        <v>49</v>
      </c>
      <c r="X36">
        <f t="shared" si="0"/>
        <v>65</v>
      </c>
      <c r="Y36">
        <f t="shared" si="0"/>
        <v>1876</v>
      </c>
      <c r="Z36">
        <f t="shared" si="0"/>
        <v>261</v>
      </c>
      <c r="AA36">
        <f t="shared" si="0"/>
        <v>9</v>
      </c>
      <c r="AB36">
        <f t="shared" si="0"/>
        <v>3</v>
      </c>
      <c r="AC36">
        <f t="shared" si="0"/>
        <v>63</v>
      </c>
      <c r="AD36">
        <f t="shared" si="0"/>
        <v>340</v>
      </c>
      <c r="AE36">
        <f t="shared" si="0"/>
        <v>494</v>
      </c>
      <c r="AF36">
        <f t="shared" si="0"/>
        <v>204</v>
      </c>
      <c r="AG36">
        <f t="shared" si="0"/>
        <v>36</v>
      </c>
      <c r="AH36">
        <f t="shared" si="0"/>
        <v>98</v>
      </c>
      <c r="AI36">
        <f t="shared" si="0"/>
        <v>33</v>
      </c>
      <c r="AJ36">
        <f t="shared" si="0"/>
        <v>217</v>
      </c>
      <c r="AK36">
        <f t="shared" si="0"/>
        <v>276</v>
      </c>
    </row>
  </sheetData>
  <sortState xmlns:xlrd2="http://schemas.microsoft.com/office/spreadsheetml/2017/richdata2" ref="A2:AK36">
    <sortCondition ref="A1:A36"/>
  </sortState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5"/>
  <sheetViews>
    <sheetView zoomScaleNormal="100" workbookViewId="0">
      <pane ySplit="1" topLeftCell="A2" activePane="bottomLeft" state="frozen"/>
      <selection pane="bottomLeft" activeCell="A5" sqref="A5"/>
    </sheetView>
  </sheetViews>
  <sheetFormatPr defaultColWidth="8.81640625" defaultRowHeight="14.5" x14ac:dyDescent="0.35"/>
  <cols>
    <col min="1" max="1" width="16" style="8" customWidth="1" collapsed="1"/>
    <col min="2" max="2" width="12.1796875" customWidth="1" collapsed="1"/>
    <col min="3" max="3" width="10.54296875" customWidth="1" collapsed="1"/>
    <col min="4" max="37" width="6.54296875" customWidth="1" collapsed="1"/>
  </cols>
  <sheetData>
    <row r="1" spans="1:37" ht="15.5" x14ac:dyDescent="0.35">
      <c r="A1" s="7" t="s">
        <v>124</v>
      </c>
      <c r="B1" s="1" t="s">
        <v>125</v>
      </c>
      <c r="C1" s="2" t="s">
        <v>0</v>
      </c>
      <c r="D1" s="6" t="s">
        <v>7</v>
      </c>
      <c r="E1" s="6" t="s">
        <v>10</v>
      </c>
      <c r="F1" s="6" t="s">
        <v>13</v>
      </c>
      <c r="G1" s="6" t="s">
        <v>16</v>
      </c>
      <c r="H1" s="6" t="s">
        <v>19</v>
      </c>
      <c r="I1" s="6" t="s">
        <v>22</v>
      </c>
      <c r="J1" s="6" t="s">
        <v>25</v>
      </c>
      <c r="K1" s="6" t="s">
        <v>28</v>
      </c>
      <c r="L1" s="6" t="s">
        <v>31</v>
      </c>
      <c r="M1" s="6" t="s">
        <v>34</v>
      </c>
      <c r="N1" s="6" t="s">
        <v>37</v>
      </c>
      <c r="O1" s="6" t="s">
        <v>40</v>
      </c>
      <c r="P1" s="6" t="s">
        <v>43</v>
      </c>
      <c r="Q1" s="6" t="s">
        <v>46</v>
      </c>
      <c r="R1" s="6" t="s">
        <v>49</v>
      </c>
      <c r="S1" s="6" t="s">
        <v>52</v>
      </c>
      <c r="T1" s="6" t="s">
        <v>55</v>
      </c>
      <c r="U1" s="6" t="s">
        <v>58</v>
      </c>
      <c r="V1" s="6" t="s">
        <v>61</v>
      </c>
      <c r="W1" s="6" t="s">
        <v>64</v>
      </c>
      <c r="X1" s="6">
        <v>3.1</v>
      </c>
      <c r="Y1" s="6">
        <v>3.2</v>
      </c>
      <c r="Z1" s="6">
        <v>3.3</v>
      </c>
      <c r="AA1" s="6">
        <v>3.4</v>
      </c>
      <c r="AB1" s="6">
        <v>3.5</v>
      </c>
      <c r="AC1" s="6">
        <v>3.6</v>
      </c>
      <c r="AD1" s="6">
        <v>3.7</v>
      </c>
      <c r="AE1" s="6">
        <v>3.8</v>
      </c>
      <c r="AF1" s="6">
        <v>4.0999999999999996</v>
      </c>
      <c r="AG1" s="6">
        <v>5.0999999999999996</v>
      </c>
      <c r="AH1" s="6">
        <v>5.2</v>
      </c>
      <c r="AI1" s="6">
        <v>5.3</v>
      </c>
      <c r="AJ1" s="6">
        <v>5.4</v>
      </c>
      <c r="AK1" s="6">
        <v>5.5</v>
      </c>
    </row>
    <row r="2" spans="1:37" x14ac:dyDescent="0.35">
      <c r="A2" s="8" t="s">
        <v>164</v>
      </c>
      <c r="B2" t="s">
        <v>165</v>
      </c>
      <c r="C2">
        <v>241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36</v>
      </c>
      <c r="AB2">
        <v>0</v>
      </c>
      <c r="AC2">
        <v>238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5">
      <c r="A3" s="8" t="s">
        <v>140</v>
      </c>
      <c r="B3" t="s">
        <v>141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s="8" t="s">
        <v>170</v>
      </c>
      <c r="B4" t="s">
        <v>171</v>
      </c>
      <c r="C4">
        <v>5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5">
      <c r="A5" s="8" t="s">
        <v>126</v>
      </c>
      <c r="B5" t="s">
        <v>127</v>
      </c>
      <c r="C5">
        <v>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15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31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5">
      <c r="A6" s="8" t="s">
        <v>166</v>
      </c>
      <c r="B6" t="s">
        <v>167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s="8" t="s">
        <v>182</v>
      </c>
      <c r="B7" t="s">
        <v>183</v>
      </c>
      <c r="C7">
        <v>26</v>
      </c>
      <c r="D7">
        <v>0</v>
      </c>
      <c r="E7">
        <v>0</v>
      </c>
      <c r="F7">
        <v>1</v>
      </c>
      <c r="G7">
        <v>3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1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10</v>
      </c>
      <c r="AB7">
        <v>1</v>
      </c>
      <c r="AC7">
        <v>20</v>
      </c>
      <c r="AD7">
        <v>1</v>
      </c>
      <c r="AE7">
        <v>3</v>
      </c>
      <c r="AF7">
        <v>1</v>
      </c>
      <c r="AG7">
        <v>0</v>
      </c>
      <c r="AH7">
        <v>2</v>
      </c>
      <c r="AI7">
        <v>0</v>
      </c>
      <c r="AJ7">
        <v>2</v>
      </c>
      <c r="AK7">
        <v>0</v>
      </c>
    </row>
    <row r="8" spans="1:37" x14ac:dyDescent="0.35">
      <c r="A8" s="8" t="s">
        <v>150</v>
      </c>
      <c r="B8" t="s">
        <v>151</v>
      </c>
      <c r="C8">
        <v>62</v>
      </c>
      <c r="D8">
        <v>23</v>
      </c>
      <c r="E8">
        <v>0</v>
      </c>
      <c r="F8">
        <v>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62</v>
      </c>
      <c r="S8">
        <v>1</v>
      </c>
      <c r="T8">
        <v>0</v>
      </c>
      <c r="U8">
        <v>0</v>
      </c>
      <c r="V8">
        <v>0</v>
      </c>
      <c r="W8">
        <v>0</v>
      </c>
      <c r="X8">
        <v>62</v>
      </c>
      <c r="Y8">
        <v>0</v>
      </c>
      <c r="Z8">
        <v>0</v>
      </c>
      <c r="AA8">
        <v>0</v>
      </c>
      <c r="AB8">
        <v>0</v>
      </c>
      <c r="AC8">
        <v>9</v>
      </c>
      <c r="AD8">
        <v>0</v>
      </c>
      <c r="AE8">
        <v>62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s="8" t="s">
        <v>154</v>
      </c>
      <c r="B9" t="s">
        <v>155</v>
      </c>
      <c r="C9">
        <v>13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s="8" t="s">
        <v>160</v>
      </c>
      <c r="B10" t="s">
        <v>161</v>
      </c>
      <c r="C10">
        <v>71378</v>
      </c>
      <c r="D10">
        <v>0</v>
      </c>
      <c r="E10">
        <v>0</v>
      </c>
      <c r="F10">
        <v>19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2</v>
      </c>
      <c r="N10">
        <v>11</v>
      </c>
      <c r="O10">
        <v>0</v>
      </c>
      <c r="P10">
        <v>0</v>
      </c>
      <c r="Q10">
        <v>18</v>
      </c>
      <c r="R10">
        <v>61185</v>
      </c>
      <c r="S10">
        <v>97</v>
      </c>
      <c r="T10">
        <v>0</v>
      </c>
      <c r="U10">
        <v>12</v>
      </c>
      <c r="V10">
        <v>12</v>
      </c>
      <c r="W10">
        <v>12</v>
      </c>
      <c r="X10">
        <v>0</v>
      </c>
      <c r="Y10">
        <v>0</v>
      </c>
      <c r="Z10">
        <v>0</v>
      </c>
      <c r="AA10">
        <v>16</v>
      </c>
      <c r="AB10">
        <v>5</v>
      </c>
      <c r="AC10">
        <v>12373</v>
      </c>
      <c r="AD10">
        <v>69</v>
      </c>
      <c r="AE10">
        <v>699</v>
      </c>
      <c r="AF10">
        <v>5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s="8" t="s">
        <v>146</v>
      </c>
      <c r="B11" t="s">
        <v>147</v>
      </c>
      <c r="C11">
        <v>40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3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1</v>
      </c>
      <c r="AB11">
        <v>2</v>
      </c>
      <c r="AC11">
        <v>31</v>
      </c>
      <c r="AD11">
        <v>0</v>
      </c>
      <c r="AE11">
        <v>2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5">
      <c r="A12" s="8" t="s">
        <v>128</v>
      </c>
      <c r="B12" t="s">
        <v>129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s="8" t="s">
        <v>168</v>
      </c>
      <c r="B13" t="s">
        <v>169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s="8" t="s">
        <v>190</v>
      </c>
      <c r="B14" t="s">
        <v>191</v>
      </c>
      <c r="C14">
        <v>112</v>
      </c>
      <c r="D14">
        <v>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13</v>
      </c>
      <c r="AB14">
        <v>2</v>
      </c>
      <c r="AC14">
        <v>104</v>
      </c>
      <c r="AD14">
        <v>0</v>
      </c>
      <c r="AE14">
        <v>0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5">
      <c r="A15" s="8" t="s">
        <v>132</v>
      </c>
      <c r="B15" t="s">
        <v>133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5">
      <c r="A16" s="8" t="s">
        <v>144</v>
      </c>
      <c r="B16" t="s">
        <v>145</v>
      </c>
      <c r="C16">
        <v>23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4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9</v>
      </c>
      <c r="S16">
        <v>2</v>
      </c>
      <c r="T16">
        <v>0</v>
      </c>
      <c r="U16">
        <v>2</v>
      </c>
      <c r="V16">
        <v>2</v>
      </c>
      <c r="W16">
        <v>2</v>
      </c>
      <c r="X16">
        <v>9</v>
      </c>
      <c r="Y16">
        <v>0</v>
      </c>
      <c r="Z16">
        <v>0</v>
      </c>
      <c r="AA16">
        <v>9</v>
      </c>
      <c r="AB16">
        <v>7</v>
      </c>
      <c r="AC16">
        <v>19</v>
      </c>
      <c r="AD16">
        <v>0</v>
      </c>
      <c r="AE16">
        <v>9</v>
      </c>
      <c r="AF16">
        <v>7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5">
      <c r="A17" s="8" t="s">
        <v>148</v>
      </c>
      <c r="B17" t="s">
        <v>149</v>
      </c>
      <c r="C17">
        <v>8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s="8" t="s">
        <v>174</v>
      </c>
      <c r="B18" t="s">
        <v>175</v>
      </c>
      <c r="C18">
        <v>6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5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5">
      <c r="A19" s="8" t="s">
        <v>186</v>
      </c>
      <c r="B19" t="s">
        <v>187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5">
      <c r="A20" s="8" t="s">
        <v>188</v>
      </c>
      <c r="B20" t="s">
        <v>189</v>
      </c>
      <c r="C20">
        <v>25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19</v>
      </c>
      <c r="AC20">
        <v>8</v>
      </c>
      <c r="AD20">
        <v>0</v>
      </c>
      <c r="AE20">
        <v>0</v>
      </c>
      <c r="AF20">
        <v>19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5">
      <c r="A21" s="8" t="s">
        <v>158</v>
      </c>
      <c r="B21" t="s">
        <v>159</v>
      </c>
      <c r="C21">
        <v>301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288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2</v>
      </c>
      <c r="AK21">
        <v>2</v>
      </c>
    </row>
    <row r="22" spans="1:37" x14ac:dyDescent="0.35">
      <c r="A22" s="8" t="s">
        <v>184</v>
      </c>
      <c r="B22" t="s">
        <v>185</v>
      </c>
      <c r="C22">
        <v>3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1</v>
      </c>
      <c r="AK22">
        <v>1</v>
      </c>
    </row>
    <row r="23" spans="1:37" x14ac:dyDescent="0.35">
      <c r="A23" s="8" t="s">
        <v>134</v>
      </c>
      <c r="B23" t="s">
        <v>135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5">
      <c r="A24" s="8" t="s">
        <v>142</v>
      </c>
      <c r="B24" t="s">
        <v>143</v>
      </c>
      <c r="C24">
        <v>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5">
      <c r="A25" s="8" t="s">
        <v>172</v>
      </c>
      <c r="B25" t="s">
        <v>173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s="8" t="s">
        <v>130</v>
      </c>
      <c r="B26" t="s">
        <v>131</v>
      </c>
      <c r="C26">
        <v>37</v>
      </c>
      <c r="D26">
        <v>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5</v>
      </c>
      <c r="M26">
        <v>0</v>
      </c>
      <c r="N26">
        <v>0</v>
      </c>
      <c r="O26">
        <v>0</v>
      </c>
      <c r="P26">
        <v>0</v>
      </c>
      <c r="Q26">
        <v>0</v>
      </c>
      <c r="R26">
        <v>12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11</v>
      </c>
      <c r="AB26">
        <v>0</v>
      </c>
      <c r="AC26">
        <v>12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5">
      <c r="A27" s="8" t="s">
        <v>178</v>
      </c>
      <c r="B27" t="s">
        <v>179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5">
      <c r="A28" s="8" t="s">
        <v>156</v>
      </c>
      <c r="B28" t="s">
        <v>157</v>
      </c>
      <c r="C28">
        <v>21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s="8" t="s">
        <v>192</v>
      </c>
      <c r="B29" t="s">
        <v>193</v>
      </c>
      <c r="C29">
        <v>47</v>
      </c>
      <c r="D29">
        <v>7</v>
      </c>
      <c r="E29">
        <v>0</v>
      </c>
      <c r="F29">
        <v>6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6</v>
      </c>
      <c r="S29">
        <v>0</v>
      </c>
      <c r="T29">
        <v>0</v>
      </c>
      <c r="U29">
        <v>1</v>
      </c>
      <c r="V29">
        <v>1</v>
      </c>
      <c r="W29">
        <v>1</v>
      </c>
      <c r="X29">
        <v>6</v>
      </c>
      <c r="Y29">
        <v>0</v>
      </c>
      <c r="Z29">
        <v>0</v>
      </c>
      <c r="AA29">
        <v>1</v>
      </c>
      <c r="AB29">
        <v>0</v>
      </c>
      <c r="AC29">
        <v>27</v>
      </c>
      <c r="AD29">
        <v>2</v>
      </c>
      <c r="AE29">
        <v>6</v>
      </c>
      <c r="AF29">
        <v>0</v>
      </c>
      <c r="AG29">
        <v>0</v>
      </c>
      <c r="AH29">
        <v>1</v>
      </c>
      <c r="AI29">
        <v>10</v>
      </c>
      <c r="AJ29">
        <v>8</v>
      </c>
      <c r="AK29">
        <v>9</v>
      </c>
    </row>
    <row r="30" spans="1:37" x14ac:dyDescent="0.35">
      <c r="A30" s="8" t="s">
        <v>138</v>
      </c>
      <c r="B30" t="s">
        <v>139</v>
      </c>
      <c r="C30">
        <v>112</v>
      </c>
      <c r="D30">
        <v>84</v>
      </c>
      <c r="E30">
        <v>0</v>
      </c>
      <c r="F30">
        <v>1</v>
      </c>
      <c r="G30">
        <v>87</v>
      </c>
      <c r="H30">
        <v>0</v>
      </c>
      <c r="I30">
        <v>84</v>
      </c>
      <c r="J30">
        <v>84</v>
      </c>
      <c r="K30">
        <v>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27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s="8" t="s">
        <v>176</v>
      </c>
      <c r="B31" t="s">
        <v>177</v>
      </c>
      <c r="C31">
        <v>81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3</v>
      </c>
      <c r="S31">
        <v>2</v>
      </c>
      <c r="T31">
        <v>0</v>
      </c>
      <c r="U31">
        <v>1</v>
      </c>
      <c r="V31">
        <v>1</v>
      </c>
      <c r="W31">
        <v>1</v>
      </c>
      <c r="X31">
        <v>2</v>
      </c>
      <c r="Y31">
        <v>0</v>
      </c>
      <c r="Z31">
        <v>0</v>
      </c>
      <c r="AA31">
        <v>4</v>
      </c>
      <c r="AB31">
        <v>1</v>
      </c>
      <c r="AC31">
        <v>72</v>
      </c>
      <c r="AD31">
        <v>1</v>
      </c>
      <c r="AE31">
        <v>2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s="8" t="s">
        <v>136</v>
      </c>
      <c r="B32" t="s">
        <v>137</v>
      </c>
      <c r="C32">
        <v>17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s="8" t="s">
        <v>162</v>
      </c>
      <c r="B33" t="s">
        <v>163</v>
      </c>
      <c r="C33">
        <v>24</v>
      </c>
      <c r="D33">
        <v>8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</v>
      </c>
      <c r="AB33">
        <v>1</v>
      </c>
      <c r="AC33">
        <v>14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s="8" t="s">
        <v>180</v>
      </c>
      <c r="B34" t="s">
        <v>181</v>
      </c>
      <c r="C34">
        <v>12</v>
      </c>
      <c r="D34">
        <v>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11</v>
      </c>
      <c r="S34">
        <v>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s="8" t="s">
        <v>152</v>
      </c>
      <c r="B35" t="s">
        <v>153</v>
      </c>
      <c r="C35">
        <v>21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</sheetData>
  <sortState xmlns:xlrd2="http://schemas.microsoft.com/office/spreadsheetml/2017/richdata2" ref="A2:AK35">
    <sortCondition ref="A1:A35"/>
  </sortState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dataset</vt:lpstr>
      <vt:lpstr>service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Lukasz Ziemba</dc:creator>
  <cp:keywords/>
  <dc:description/>
  <cp:lastModifiedBy>MONACO Veronica (JRC-ISPRA-EXT)</cp:lastModifiedBy>
  <cp:revision>2</cp:revision>
  <dcterms:created xsi:type="dcterms:W3CDTF">2021-01-08T17:51:51Z</dcterms:created>
  <dcterms:modified xsi:type="dcterms:W3CDTF">2026-03-27T08:48:10Z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2026-02-23T10:03:02Z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f75bfa41-89c1-4d7a-ae1f-f877c899ac81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10, 3, 0, 2</vt:lpwstr>
  </property>
</Properties>
</file>